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09"/>
  <workbookPr/>
  <mc:AlternateContent xmlns:mc="http://schemas.openxmlformats.org/markup-compatibility/2006">
    <mc:Choice Requires="x15">
      <x15ac:absPath xmlns:x15ac="http://schemas.microsoft.com/office/spreadsheetml/2010/11/ac" url="D:\ghadir tire\Poroject\GhadiTire\GhadiTire\bin\Debug\"/>
    </mc:Choice>
  </mc:AlternateContent>
  <xr:revisionPtr revIDLastSave="0" documentId="8_{B66DD3FA-1436-49C7-8714-680AA85A5C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" l="1"/>
  <c r="D6" i="1" s="1"/>
  <c r="E6" i="1" s="1"/>
  <c r="G6" i="1" s="1"/>
  <c r="H6" i="1" s="1"/>
  <c r="N6" i="1" s="1"/>
  <c r="B3" i="1"/>
  <c r="D3" i="1"/>
  <c r="M6" i="1" l="1"/>
  <c r="J6" i="1"/>
  <c r="I6" i="1"/>
  <c r="E3" i="1"/>
  <c r="G3" i="1" s="1"/>
  <c r="H3" i="1" l="1"/>
  <c r="M3" i="1"/>
  <c r="O6" i="1"/>
  <c r="K6" i="1"/>
  <c r="J3" i="1" l="1"/>
  <c r="N3" i="1"/>
  <c r="I3" i="1"/>
  <c r="K3" i="1" l="1"/>
  <c r="O3" i="1"/>
</calcChain>
</file>

<file path=xl/sharedStrings.xml><?xml version="1.0" encoding="utf-8"?>
<sst xmlns="http://schemas.openxmlformats.org/spreadsheetml/2006/main" count="32" uniqueCount="17">
  <si>
    <t>درصد سود</t>
  </si>
  <si>
    <t>درصد مالیات</t>
  </si>
  <si>
    <t>مبلغ مالیات</t>
  </si>
  <si>
    <t>مبلغ سود تک حلقه</t>
  </si>
  <si>
    <t>فی خرید دو حلقه</t>
  </si>
  <si>
    <t>فی خرید تک حلقه</t>
  </si>
  <si>
    <t>فی تک حلقه با سود</t>
  </si>
  <si>
    <t>فی فروش تک حلقه</t>
  </si>
  <si>
    <t>فی فروش جفت حلقه</t>
  </si>
  <si>
    <t>سود فروش تک حلقه</t>
  </si>
  <si>
    <t>سود فروش جفت حلقه</t>
  </si>
  <si>
    <t>تعداد</t>
  </si>
  <si>
    <t>سود کل</t>
  </si>
  <si>
    <t>محاسبه با فی دو حلقه</t>
  </si>
  <si>
    <t>مالیات کل</t>
  </si>
  <si>
    <t>جمع فاکتور</t>
  </si>
  <si>
    <t xml:space="preserve">محاسبه با فی تک حلقه  رازی تایر 175/60/13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</si>
</sst>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B Nazanin"/>
      <charset val="178"/>
    </font>
    <font>
      <b/>
      <sz val="28"/>
      <color theme="1"/>
      <name val="B Nazanin"/>
      <charset val="178"/>
    </font>
    <font>
      <sz val="12"/>
      <color theme="1"/>
      <name val="B Titr"/>
      <charset val="178"/>
    </font>
    <font>
      <b/>
      <sz val="12"/>
      <color theme="1"/>
      <name val="B Nazanin"/>
      <charset val="17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3" fontId="1" fillId="3" borderId="1" xfId="0" applyNumberFormat="1" applyFon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4" fontId="4" fillId="3" borderId="1" xfId="0" applyNumberFormat="1" applyFont="1" applyFill="1" applyBorder="1" applyAlignment="1">
      <alignment horizontal="center" vertical="center"/>
    </xf>
    <xf numFmtId="3" fontId="4" fillId="5" borderId="1" xfId="0" applyNumberFormat="1" applyFont="1" applyFill="1" applyBorder="1" applyAlignment="1">
      <alignment horizontal="center" vertical="center"/>
    </xf>
    <xf numFmtId="3" fontId="4" fillId="6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6"/>
  <sheetViews>
    <sheetView rightToLeft="1" tabSelected="1" zoomScale="90" zoomScaleNormal="90" workbookViewId="0">
      <selection activeCell="N6" sqref="N6"/>
    </sheetView>
  </sheetViews>
  <sheetFormatPr defaultRowHeight="14.4" x14ac:dyDescent="0.3"/>
  <cols>
    <col min="1" max="1" width="15.88671875" bestFit="1" customWidth="1"/>
    <col min="2" max="2" width="15.21875" bestFit="1" customWidth="1"/>
    <col min="3" max="3" width="9.44140625" bestFit="1" customWidth="1"/>
    <col min="4" max="4" width="15.5546875" bestFit="1" customWidth="1"/>
    <col min="5" max="5" width="16.33203125" bestFit="1" customWidth="1"/>
    <col min="6" max="6" width="11.44140625" bestFit="1" customWidth="1"/>
    <col min="7" max="7" width="11.33203125" bestFit="1" customWidth="1"/>
    <col min="8" max="8" width="16.6640625" bestFit="1" customWidth="1"/>
    <col min="9" max="9" width="18" bestFit="1" customWidth="1"/>
    <col min="10" max="10" width="17.21875" bestFit="1" customWidth="1"/>
    <col min="11" max="11" width="18.5546875" bestFit="1" customWidth="1"/>
    <col min="12" max="12" width="5.5546875" bestFit="1" customWidth="1"/>
    <col min="13" max="13" width="9.21875" bestFit="1" customWidth="1"/>
    <col min="14" max="14" width="12.77734375" bestFit="1" customWidth="1"/>
    <col min="15" max="15" width="11" bestFit="1" customWidth="1"/>
  </cols>
  <sheetData>
    <row r="1" spans="1:15" ht="46.8" x14ac:dyDescent="0.3">
      <c r="A1" s="11" t="s">
        <v>16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ht="25.2" x14ac:dyDescent="0.3">
      <c r="A2" s="4" t="s">
        <v>5</v>
      </c>
      <c r="B2" s="4" t="s">
        <v>4</v>
      </c>
      <c r="C2" s="4" t="s">
        <v>0</v>
      </c>
      <c r="D2" s="4" t="s">
        <v>3</v>
      </c>
      <c r="E2" s="4" t="s">
        <v>6</v>
      </c>
      <c r="F2" s="4" t="s">
        <v>1</v>
      </c>
      <c r="G2" s="4" t="s">
        <v>2</v>
      </c>
      <c r="H2" s="5" t="s">
        <v>7</v>
      </c>
      <c r="I2" s="5" t="s">
        <v>8</v>
      </c>
      <c r="J2" s="6" t="s">
        <v>9</v>
      </c>
      <c r="K2" s="5" t="s">
        <v>10</v>
      </c>
      <c r="L2" s="5" t="s">
        <v>11</v>
      </c>
      <c r="M2" s="5" t="s">
        <v>14</v>
      </c>
      <c r="N2" s="5" t="s">
        <v>15</v>
      </c>
      <c r="O2" s="5" t="s">
        <v>12</v>
      </c>
    </row>
    <row r="3" spans="1:15" ht="62.4" customHeight="1" x14ac:dyDescent="0.3">
      <c r="A3" s="7">
        <v>10075000</v>
      </c>
      <c r="B3" s="7">
        <f>A3*2</f>
        <v>20150000</v>
      </c>
      <c r="C3" s="8">
        <v>0</v>
      </c>
      <c r="D3" s="7">
        <f>(A3*C3)/100</f>
        <v>0</v>
      </c>
      <c r="E3" s="10">
        <f>D3+A3</f>
        <v>10075000</v>
      </c>
      <c r="F3" s="8">
        <v>10</v>
      </c>
      <c r="G3" s="7">
        <f>(E3*F3)/100</f>
        <v>1007500</v>
      </c>
      <c r="H3" s="7">
        <f>G3+E3</f>
        <v>11082500</v>
      </c>
      <c r="I3" s="7">
        <f>H3*2</f>
        <v>22165000</v>
      </c>
      <c r="J3" s="9">
        <f>H3-A3</f>
        <v>1007500</v>
      </c>
      <c r="K3" s="7">
        <f>J3*2</f>
        <v>2015000</v>
      </c>
      <c r="L3" s="7">
        <v>4</v>
      </c>
      <c r="M3" s="10">
        <f>G3*L3</f>
        <v>4030000</v>
      </c>
      <c r="N3" s="10">
        <f>H3*L3</f>
        <v>44330000</v>
      </c>
      <c r="O3" s="7">
        <f>J3*L3</f>
        <v>4030000</v>
      </c>
    </row>
    <row r="4" spans="1:15" ht="37.200000000000003" customHeight="1" x14ac:dyDescent="0.3">
      <c r="A4" s="11" t="s">
        <v>13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 ht="25.2" x14ac:dyDescent="0.3">
      <c r="A5" s="4" t="s">
        <v>5</v>
      </c>
      <c r="B5" s="4" t="s">
        <v>4</v>
      </c>
      <c r="C5" s="4" t="s">
        <v>0</v>
      </c>
      <c r="D5" s="4" t="s">
        <v>3</v>
      </c>
      <c r="E5" s="4" t="s">
        <v>6</v>
      </c>
      <c r="F5" s="4" t="s">
        <v>1</v>
      </c>
      <c r="G5" s="4" t="s">
        <v>2</v>
      </c>
      <c r="H5" s="5" t="s">
        <v>7</v>
      </c>
      <c r="I5" s="5" t="s">
        <v>8</v>
      </c>
      <c r="J5" s="6" t="s">
        <v>9</v>
      </c>
      <c r="K5" s="5" t="s">
        <v>10</v>
      </c>
      <c r="L5" s="5" t="s">
        <v>11</v>
      </c>
      <c r="M5" s="5" t="s">
        <v>14</v>
      </c>
      <c r="N5" s="5" t="s">
        <v>15</v>
      </c>
      <c r="O5" s="5" t="s">
        <v>12</v>
      </c>
    </row>
    <row r="6" spans="1:15" ht="62.4" customHeight="1" x14ac:dyDescent="0.3">
      <c r="A6" s="1">
        <f>B6/2</f>
        <v>10075000</v>
      </c>
      <c r="B6" s="1">
        <v>20150000</v>
      </c>
      <c r="C6" s="2">
        <v>0</v>
      </c>
      <c r="D6" s="1">
        <f>(A6*C6)/100</f>
        <v>0</v>
      </c>
      <c r="E6" s="10">
        <f>D6+A6</f>
        <v>10075000</v>
      </c>
      <c r="F6" s="2">
        <v>10</v>
      </c>
      <c r="G6" s="1">
        <f>(E6*F6)/100</f>
        <v>1007500</v>
      </c>
      <c r="H6" s="1">
        <f>G6+E6</f>
        <v>11082500</v>
      </c>
      <c r="I6" s="1">
        <f>H6*2</f>
        <v>22165000</v>
      </c>
      <c r="J6" s="3">
        <f>H6-A6</f>
        <v>1007500</v>
      </c>
      <c r="K6" s="1">
        <f>J6*2</f>
        <v>2015000</v>
      </c>
      <c r="L6" s="1">
        <v>4</v>
      </c>
      <c r="M6" s="10">
        <f>G6*L6</f>
        <v>4030000</v>
      </c>
      <c r="N6" s="10">
        <f>H6*L6</f>
        <v>44330000</v>
      </c>
      <c r="O6" s="1">
        <f>J6*L6</f>
        <v>4030000</v>
      </c>
    </row>
  </sheetData>
  <mergeCells count="2">
    <mergeCell ref="A4:O4"/>
    <mergeCell ref="A1:O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Rosecomputer</dc:creator>
  <cp:lastModifiedBy>Rosecomputer</cp:lastModifiedBy>
  <dcterms:created xsi:type="dcterms:W3CDTF">2015-06-05T18:17:20Z</dcterms:created>
  <dcterms:modified xsi:type="dcterms:W3CDTF">2024-06-20T08:41:01Z</dcterms:modified>
</cp:coreProperties>
</file>